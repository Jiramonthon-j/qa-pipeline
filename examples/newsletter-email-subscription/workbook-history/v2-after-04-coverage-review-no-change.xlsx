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Requirement Matrix" sheetId="3" state="visible" r:id="rId3"/>
    <sheet xmlns:r="http://schemas.openxmlformats.org/officeDocument/2006/relationships" name="Env &amp; Config" sheetId="4" state="visible" r:id="rId4"/>
    <sheet xmlns:r="http://schemas.openxmlformats.org/officeDocument/2006/relationships" name="Priority &amp; Risk Matrix" sheetId="5" state="visible" r:id="rId5"/>
    <sheet xmlns:r="http://schemas.openxmlformats.org/officeDocument/2006/relationships" name="Glossary" sheetId="6" state="visible" r:id="rId6"/>
    <sheet xmlns:r="http://schemas.openxmlformats.org/officeDocument/2006/relationships" name="Test Case" sheetId="7" state="visible" r:id="rId7"/>
  </sheets>
  <definedNames>
    <definedName name="_xlnm.Print_Titles" localSheetId="0">'Executive Dashboard'!$1:$1</definedName>
    <definedName name="_xlnm.Print_Titles" localSheetId="1">'Document Control'!$1:$1</definedName>
    <definedName name="_xlnm.Print_Titles" localSheetId="2">'Requirement Matrix'!$1:$1</definedName>
    <definedName name="_xlnm.Print_Titles" localSheetId="3">'Env &amp; Config'!$1:$1</definedName>
    <definedName name="_xlnm.Print_Titles" localSheetId="4">'Priority &amp; Risk Matrix'!$1:$1</definedName>
    <definedName name="_xlnm.Print_Titles" localSheetId="5">'Glossary'!$1:$1</definedName>
    <definedName name="_xlnm.Print_Titles" localSheetId="6">'Test Case'!$1:$1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name val="Calibri"/>
      <color rgb="FFFF0000"/>
      <sz val="11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horizontal="center" vertical="top" wrapText="1"/>
    </xf>
    <xf numFmtId="0" fontId="0" fillId="1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Case Status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Dashboard'!$A$15:$A$18</f>
            </numRef>
          </cat>
          <val>
            <numRef>
              <f>'Executive Dashboard'!$B$15:$B$18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Priority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Dashboard'!G14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Dashboard'!$F$15:$F$18</f>
            </numRef>
          </cat>
          <val>
            <numRef>
              <f>'Executive Dashboard'!$G$15:$G$18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</cols>
  <sheetData>
    <row r="1" ht="22" customHeight="1">
      <c r="A1" s="24" t="inlineStr">
        <is>
          <t>Executive Dashboard</t>
        </is>
      </c>
      <c r="B1" s="25" t="n"/>
      <c r="C1" s="25" t="n"/>
      <c r="D1" s="25" t="n"/>
      <c r="E1" s="25" t="n"/>
      <c r="F1" s="25" t="n"/>
      <c r="G1" s="25" t="n"/>
    </row>
    <row r="3" ht="38" customHeight="1">
      <c r="A3" s="2" t="inlineStr">
        <is>
          <t>*สรุปนี้จะถูกคำนวณอัตโนมัติจากชีต Test Case (สูตร COUNTIF อ้างอิงชีต "Test Case")*</t>
        </is>
      </c>
    </row>
    <row r="5" ht="22" customHeight="1">
      <c r="A5" s="12" t="inlineStr">
        <is>
          <t>Total Test Cases</t>
        </is>
      </c>
      <c r="B5" s="13">
        <f>COUNTA('Test Case'!A2:A100000)</f>
        <v/>
      </c>
      <c r="C5" s="13" t="n"/>
      <c r="D5" s="13" t="n"/>
      <c r="E5" s="13" t="n"/>
      <c r="F5" s="13" t="n"/>
      <c r="G5" s="13" t="n"/>
    </row>
    <row r="6" ht="22" customHeight="1">
      <c r="A6" s="12" t="inlineStr">
        <is>
          <t>Pass</t>
        </is>
      </c>
      <c r="B6" s="13">
        <f>COUNTIF('Test Case'!L2:L100000,"Pass")</f>
        <v/>
      </c>
      <c r="C6" s="13" t="n"/>
      <c r="D6" s="13" t="n"/>
      <c r="E6" s="13" t="n"/>
      <c r="F6" s="13" t="n"/>
      <c r="G6" s="13" t="n"/>
    </row>
    <row r="7" ht="22" customHeight="1">
      <c r="A7" s="12" t="inlineStr">
        <is>
          <t>Fail</t>
        </is>
      </c>
      <c r="B7" s="13">
        <f>COUNTIF('Test Case'!L2:L100000,"Fail")</f>
        <v/>
      </c>
      <c r="C7" s="13" t="n"/>
      <c r="D7" s="13" t="n"/>
      <c r="E7" s="13" t="n"/>
      <c r="F7" s="13" t="n"/>
      <c r="G7" s="13" t="n"/>
    </row>
    <row r="8" ht="22" customHeight="1">
      <c r="A8" s="12" t="inlineStr">
        <is>
          <t>Not Start</t>
        </is>
      </c>
      <c r="B8" s="13">
        <f>COUNTIF('Test Case'!L2:L100000,"not start")</f>
        <v/>
      </c>
      <c r="C8" s="13" t="n"/>
      <c r="D8" s="13" t="n"/>
      <c r="E8" s="13" t="n"/>
      <c r="F8" s="13" t="n"/>
      <c r="G8" s="13" t="n"/>
    </row>
    <row r="9" ht="22" customHeight="1">
      <c r="A9" s="12" t="inlineStr">
        <is>
          <t>Rejected / Not a Bug</t>
        </is>
      </c>
      <c r="B9" s="13">
        <f>COUNTIF('Test Case'!L2:L100000,"Rejected / Not a Bug")</f>
        <v/>
      </c>
      <c r="C9" s="13" t="n"/>
      <c r="D9" s="13" t="n"/>
      <c r="E9" s="13" t="n"/>
      <c r="F9" s="13" t="n"/>
      <c r="G9" s="13" t="n"/>
    </row>
    <row r="10" ht="22" customHeight="1">
      <c r="A10" s="12" t="inlineStr">
        <is>
          <t>P0 Count</t>
        </is>
      </c>
      <c r="B10" s="13">
        <f>COUNTIF('Test Case'!E2:E100000,"P0")</f>
        <v/>
      </c>
      <c r="C10" s="13" t="n"/>
      <c r="D10" s="13" t="n"/>
      <c r="E10" s="13" t="n"/>
      <c r="F10" s="13" t="n"/>
      <c r="G10" s="13" t="n"/>
    </row>
    <row r="11" ht="22" customHeight="1">
      <c r="A11" s="12" t="inlineStr">
        <is>
          <t>P1 Count</t>
        </is>
      </c>
      <c r="B11" s="13">
        <f>COUNTIF('Test Case'!E2:E100000,"P1")</f>
        <v/>
      </c>
      <c r="C11" s="13" t="n"/>
      <c r="D11" s="13" t="n"/>
      <c r="E11" s="13" t="n"/>
      <c r="F11" s="13" t="n"/>
      <c r="G11" s="13" t="n"/>
    </row>
    <row r="14" ht="22" customHeight="1">
      <c r="A14" s="13" t="inlineStr">
        <is>
          <t>Status</t>
        </is>
      </c>
      <c r="B14" s="13" t="inlineStr">
        <is>
          <t>Count</t>
        </is>
      </c>
      <c r="C14" s="13" t="n"/>
      <c r="D14" s="13" t="n"/>
      <c r="E14" s="13" t="n"/>
      <c r="F14" s="13" t="inlineStr">
        <is>
          <t>Priority</t>
        </is>
      </c>
      <c r="G14" s="13" t="inlineStr">
        <is>
          <t>Count</t>
        </is>
      </c>
    </row>
    <row r="15" ht="22" customHeight="1">
      <c r="A15" s="13" t="inlineStr">
        <is>
          <t>Pass</t>
        </is>
      </c>
      <c r="B15" s="13">
        <f>B6</f>
        <v/>
      </c>
      <c r="C15" s="13" t="n"/>
      <c r="D15" s="13" t="n"/>
      <c r="E15" s="13" t="n"/>
      <c r="F15" s="13" t="inlineStr">
        <is>
          <t>P0</t>
        </is>
      </c>
      <c r="G15" s="13">
        <f>COUNTIF('Test Case'!E2:E100000,"P0")</f>
        <v/>
      </c>
    </row>
    <row r="16" ht="22" customHeight="1">
      <c r="A16" s="13" t="inlineStr">
        <is>
          <t>Fail</t>
        </is>
      </c>
      <c r="B16" s="13">
        <f>B7</f>
        <v/>
      </c>
      <c r="C16" s="13" t="n"/>
      <c r="D16" s="13" t="n"/>
      <c r="E16" s="13" t="n"/>
      <c r="F16" s="13" t="inlineStr">
        <is>
          <t>P1</t>
        </is>
      </c>
      <c r="G16" s="13">
        <f>COUNTIF('Test Case'!E2:E100000,"P1")</f>
        <v/>
      </c>
    </row>
    <row r="17" ht="22" customHeight="1">
      <c r="A17" s="13" t="inlineStr">
        <is>
          <t>Not Start</t>
        </is>
      </c>
      <c r="B17" s="13">
        <f>B8</f>
        <v/>
      </c>
      <c r="C17" s="13" t="n"/>
      <c r="D17" s="13" t="n"/>
      <c r="E17" s="13" t="n"/>
      <c r="F17" s="13" t="inlineStr">
        <is>
          <t>P2</t>
        </is>
      </c>
      <c r="G17" s="13">
        <f>COUNTIF('Test Case'!E2:E100000,"P2")</f>
        <v/>
      </c>
    </row>
    <row r="18" ht="22" customHeight="1">
      <c r="A18" s="13" t="inlineStr">
        <is>
          <t>Rejected / Not a Bug</t>
        </is>
      </c>
      <c r="B18" s="13">
        <f>B9</f>
        <v/>
      </c>
      <c r="C18" s="13" t="n"/>
      <c r="D18" s="13" t="n"/>
      <c r="E18" s="13" t="n"/>
      <c r="F18" s="13" t="inlineStr">
        <is>
          <t>P3</t>
        </is>
      </c>
      <c r="G18" s="13">
        <f>COUNTIF('Test Case'!E2:E100000,"P3")</f>
        <v/>
      </c>
    </row>
  </sheetData>
  <mergeCells count="1">
    <mergeCell ref="A3:G3"/>
  </mergeCells>
  <pageMargins left="0.4" right="0.4" top="0.5" bottom="0.5" header="0.2" footer="0.2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4" customWidth="1" min="3" max="3"/>
    <col width="50" customWidth="1" min="4" max="4"/>
  </cols>
  <sheetData>
    <row r="1" ht="38" customHeight="1">
      <c r="A1" s="26" t="inlineStr">
        <is>
          <t>Document Control</t>
        </is>
      </c>
      <c r="B1" s="25" t="n"/>
      <c r="C1" s="25" t="n"/>
      <c r="D1" s="25" t="n"/>
    </row>
    <row r="3" ht="38" customHeight="1">
      <c r="A3" s="15" t="inlineStr">
        <is>
          <t>Feature</t>
        </is>
      </c>
      <c r="B3" s="15" t="inlineStr">
        <is>
          <t>Newsletter Email Subscription</t>
        </is>
      </c>
      <c r="C3" s="13" t="n"/>
      <c r="D3" s="13" t="n"/>
    </row>
    <row r="4" ht="38" customHeight="1">
      <c r="A4" s="15" t="inlineStr">
        <is>
          <t>Current Version</t>
        </is>
      </c>
      <c r="B4" s="15" t="n">
        <v>2</v>
      </c>
      <c r="C4" s="13" t="n"/>
      <c r="D4" s="13" t="n"/>
    </row>
    <row r="5" ht="38" customHeight="1">
      <c r="A5" s="15" t="inlineStr">
        <is>
          <t>Last Updated</t>
        </is>
      </c>
      <c r="B5" s="15" t="inlineStr">
        <is>
          <t>2026-09-19</t>
        </is>
      </c>
      <c r="C5" s="13" t="n"/>
      <c r="D5" s="13" t="n"/>
    </row>
    <row r="7" ht="38" customHeight="1">
      <c r="A7" s="5" t="inlineStr">
        <is>
          <t>Version</t>
        </is>
      </c>
      <c r="B7" s="5" t="inlineStr">
        <is>
          <t>Date</t>
        </is>
      </c>
      <c r="C7" s="5" t="inlineStr">
        <is>
          <t>Edited By (Skill)</t>
        </is>
      </c>
      <c r="D7" s="5" t="inlineStr">
        <is>
          <t>Change Note</t>
        </is>
      </c>
    </row>
    <row r="8" ht="38" customHeight="1">
      <c r="A8" s="15" t="n">
        <v>1</v>
      </c>
      <c r="B8" s="15" t="inlineStr">
        <is>
          <t>2026-09-19</t>
        </is>
      </c>
      <c r="C8" s="13" t="inlineStr">
        <is>
          <t>test-case-generator</t>
        </is>
      </c>
      <c r="D8" s="13" t="inlineStr">
        <is>
          <t>สร้าง Workbook ครั้งแรก</t>
        </is>
      </c>
    </row>
    <row r="9">
      <c r="A9" t="n">
        <v>2</v>
      </c>
      <c r="B9" t="inlineStr">
        <is>
          <t>2026-09-19</t>
        </is>
      </c>
      <c r="C9" t="inlineStr">
        <is>
          <t>test-case-generator</t>
        </is>
      </c>
      <c r="D9" t="inlineStr">
        <is>
          <t>เพิ่ม Test Case ชุดแรก TC-001 ถึง TC-011 ครอบคลุมทั้ง 2 Flow และทุก Business Rule</t>
        </is>
      </c>
    </row>
  </sheetData>
  <pageMargins left="0.4" right="0.4" top="0.5" bottom="0.5" header="0.2" footer="0.2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8" customWidth="1" min="3" max="3"/>
    <col width="30" customWidth="1" min="4" max="4"/>
    <col width="3" customWidth="1" min="5" max="5"/>
    <col width="45" customWidth="1" min="6" max="6"/>
  </cols>
  <sheetData>
    <row r="1" ht="38" customHeight="1">
      <c r="A1" s="5" t="inlineStr">
        <is>
          <t>Requirement / Business Rule ID</t>
        </is>
      </c>
      <c r="B1" s="5" t="inlineStr">
        <is>
          <t>รายละเอียด</t>
        </is>
      </c>
      <c r="C1" s="5" t="inlineStr">
        <is>
          <t>Test Case ID ที่ครอบคลุม</t>
        </is>
      </c>
      <c r="D1" s="5" t="inlineStr">
        <is>
          <t>Coverage Status</t>
        </is>
      </c>
    </row>
    <row r="2" ht="70" customHeight="1">
      <c r="A2" s="15" t="inlineStr">
        <is>
          <t>BR-001</t>
        </is>
      </c>
      <c r="B2" s="13" t="inlineStr">
        <is>
          <t>อีเมลต้องอยู่ในรูปแบบมาตรฐาน (มี @ และโดเมน) ไม่จำกัดความยาวเพิ่มเติมนอกจาก format มาตรฐาน</t>
        </is>
      </c>
      <c r="C2" s="13" t="inlineStr">
        <is>
          <t>TC-002, TC-003, TC-007, TC-008, TC-009</t>
        </is>
      </c>
      <c r="D2" s="13" t="inlineStr">
        <is>
          <t>Covered</t>
        </is>
      </c>
      <c r="F2" s="2" t="inlineStr">
        <is>
          <t>*(เติมโดยอ้างอิงจาก 01-requirement-review.md และ 02-e2e-flow.md — 1 แถวต่อ 1 Business Rule/Flow — Skill coverage-review (04) จะใช้ชีตนี้ตรวจ Coverage)*</t>
        </is>
      </c>
    </row>
    <row r="3">
      <c r="A3" t="inlineStr">
        <is>
          <t>BR-002</t>
        </is>
      </c>
      <c r="B3" t="inlineStr">
        <is>
          <t>เช็คอีเมลซ้ำแบบ exact match (case-sensitive) — ตัดสินใจชั่วคราว ยังไม่ยืนยันจากทีม Marketing (RISK-001)</t>
        </is>
      </c>
      <c r="C3" t="inlineStr">
        <is>
          <t>TC-004, TC-005</t>
        </is>
      </c>
      <c r="D3" t="inlineStr">
        <is>
          <t>Covered</t>
        </is>
      </c>
    </row>
    <row r="4">
      <c r="A4" t="inlineStr">
        <is>
          <t>BR-003</t>
        </is>
      </c>
      <c r="B4" t="inlineStr">
        <is>
          <t>ไม่ต้องมี Double Opt-in ก่อนนับว่าสมัครสำเร็จ</t>
        </is>
      </c>
      <c r="C4" t="inlineStr">
        <is>
          <t>TC-001</t>
        </is>
      </c>
      <c r="D4" t="inlineStr">
        <is>
          <t>Covered</t>
        </is>
      </c>
    </row>
    <row r="5">
      <c r="A5" t="inlineStr">
        <is>
          <t>BR-004</t>
        </is>
      </c>
      <c r="B5" t="inlineStr">
        <is>
          <t>ปุ่ม "สมัครรับข่าวสาร" ต้อง disable ระหว่างรอผลลัพธ์</t>
        </is>
      </c>
      <c r="C5" t="inlineStr">
        <is>
          <t>TC-006</t>
        </is>
      </c>
      <c r="D5" t="inlineStr">
        <is>
          <t>Covered</t>
        </is>
      </c>
    </row>
    <row r="6">
      <c r="A6" t="inlineStr">
        <is>
          <t>FLOW-001</t>
        </is>
      </c>
      <c r="B6" t="inlineStr">
        <is>
          <t>สมัครรับข่าวสารทางอีเมล (Main + Error Path ผ่าน DP-001/DP-002)</t>
        </is>
      </c>
      <c r="C6" t="inlineStr">
        <is>
          <t>TC-001, TC-002, TC-003, TC-004, TC-005, TC-007, TC-008, TC-009, TC-011</t>
        </is>
      </c>
      <c r="D6" t="inlineStr">
        <is>
          <t>Covered</t>
        </is>
      </c>
    </row>
    <row r="7">
      <c r="A7" t="inlineStr">
        <is>
          <t>FLOW-002</t>
        </is>
      </c>
      <c r="B7" t="inlineStr">
        <is>
          <t>ป้องกันกดปุ่มสมัครซ้ำระหว่างประมวลผล</t>
        </is>
      </c>
      <c r="C7" t="inlineStr">
        <is>
          <t>TC-006</t>
        </is>
      </c>
      <c r="D7" t="inlineStr">
        <is>
          <t>Covered</t>
        </is>
      </c>
    </row>
  </sheetData>
  <pageMargins left="0.4" right="0.4" top="0.5" bottom="0.5" header="0.2" footer="0.2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 ht="38" customHeight="1">
      <c r="A1" s="5" t="inlineStr">
        <is>
          <t>Key</t>
        </is>
      </c>
      <c r="B1" s="5" t="inlineStr">
        <is>
          <t>Value</t>
        </is>
      </c>
    </row>
    <row r="2" ht="22" customHeight="1">
      <c r="A2" s="13" t="inlineStr">
        <is>
          <t>Environment</t>
        </is>
      </c>
      <c r="B2" s="13" t="inlineStr">
        <is>
          <t>Staging</t>
        </is>
      </c>
    </row>
    <row r="3" ht="22" customHeight="1">
      <c r="A3" s="13" t="inlineStr">
        <is>
          <t>URL</t>
        </is>
      </c>
      <c r="B3" s="13" t="inlineStr">
        <is>
          <t>https://staging.example-shop.test/</t>
        </is>
      </c>
    </row>
    <row r="4" ht="22" customHeight="1">
      <c r="A4" s="13" t="inlineStr">
        <is>
          <t>Test Account(s)</t>
        </is>
      </c>
      <c r="B4" s="13" t="inlineStr">
        <is>
          <t>ไม่ต้อง Login — ฟีเจอร์นี้ใช้งานได้โดยผู้เข้าชมทั่วไป</t>
        </is>
      </c>
    </row>
    <row r="5" ht="22" customHeight="1">
      <c r="A5" s="13" t="inlineStr">
        <is>
          <t>Browser(s) ที่ต้องเทส</t>
        </is>
      </c>
      <c r="B5" s="13" t="inlineStr">
        <is>
          <t>Chrome, Safari, Firefox, Edge (เวอร์ชันล่าสุด) — สมมติฐานชั่วคราว รอคำตอบยืนยันจากทีม (OQ-03)</t>
        </is>
      </c>
    </row>
    <row r="6" ht="22" customHeight="1">
      <c r="A6" s="13" t="inlineStr">
        <is>
          <t>Device(s) ที่ต้องเทส</t>
        </is>
      </c>
      <c r="B6" s="13" t="inlineStr">
        <is>
          <t>Desktop (ยังไม่มีข้อมูลว่าต้องรองรับ Mobile หรือไม่)</t>
        </is>
      </c>
    </row>
    <row r="7" ht="22" customHeight="1">
      <c r="A7" s="13" t="inlineStr">
        <is>
          <t>หมายเหตุ Config อื่นๆ</t>
        </is>
      </c>
      <c r="B7" s="13" t="inlineStr">
        <is>
          <t>อีเมลทดสอบทั้งหมดใช้โดเมน example.com/example-shop.test เท่านั้น ไม่ใช่อีเมลบุคคลจริง</t>
        </is>
      </c>
    </row>
  </sheetData>
  <pageMargins left="0.4" right="0.4" top="0.5" bottom="0.5" header="0.2" footer="0.2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45" customWidth="1" min="3" max="3"/>
  </cols>
  <sheetData>
    <row r="1" ht="38" customHeight="1">
      <c r="A1" s="5" t="inlineStr">
        <is>
          <t>Priority</t>
        </is>
      </c>
      <c r="B1" s="5" t="inlineStr">
        <is>
          <t>นิยาม</t>
        </is>
      </c>
      <c r="C1" s="5" t="inlineStr">
        <is>
          <t>ตัวอย่าง</t>
        </is>
      </c>
    </row>
    <row r="2" ht="38" customHeight="1">
      <c r="A2" s="16" t="inlineStr">
        <is>
          <t>P0</t>
        </is>
      </c>
      <c r="B2" s="13" t="inlineStr">
        <is>
          <t>ระบบใช้งานไม่ได้เลย / ข้อมูล/เงิน/ความปลอดภัยเสียหาย</t>
        </is>
      </c>
      <c r="C2" s="13" t="inlineStr">
        <is>
          <t>Login ไม่ได้เลย, ข้อมูลบัตรเครดิตรั่วไหล</t>
        </is>
      </c>
    </row>
    <row r="3" ht="38" customHeight="1">
      <c r="A3" s="17" t="inlineStr">
        <is>
          <t>P1</t>
        </is>
      </c>
      <c r="B3" s="13" t="inlineStr">
        <is>
          <t>ฟีเจอร์หลักใช้งานไม่ได้ตามที่ออกแบบ แต่ยังมีทางเลี่ยง</t>
        </is>
      </c>
      <c r="C3" s="13" t="inlineStr">
        <is>
          <t>Resend OTP ไม่ทำงาน แต่ยัง Login รอบแรกได้</t>
        </is>
      </c>
    </row>
    <row r="4" ht="38" customHeight="1">
      <c r="A4" s="18" t="inlineStr">
        <is>
          <t>P2</t>
        </is>
      </c>
      <c r="B4" s="13" t="inlineStr">
        <is>
          <t>บั๊กที่กระทบ UX แต่ไม่ block การใช้งานหลัก</t>
        </is>
      </c>
      <c r="C4" s="13" t="inlineStr">
        <is>
          <t>ข้อความ error ไม่ชัดเจน</t>
        </is>
      </c>
    </row>
    <row r="5" ht="38" customHeight="1">
      <c r="A5" s="19" t="inlineStr">
        <is>
          <t>P3</t>
        </is>
      </c>
      <c r="B5" s="13" t="inlineStr">
        <is>
          <t>ปัญหาเล็กน้อย/ความสวยงาม</t>
        </is>
      </c>
      <c r="C5" s="13" t="inlineStr">
        <is>
          <t>จัดวาง UI เพี้ยนเล็กน้อย</t>
        </is>
      </c>
    </row>
  </sheetData>
  <pageMargins left="0.4" right="0.4" top="0.5" bottom="0.5" header="0.2" footer="0.2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38" customHeight="1">
      <c r="A1" s="5" t="inlineStr">
        <is>
          <t>คำศัพท์ / รหัส</t>
        </is>
      </c>
      <c r="B1" s="5" t="inlineStr">
        <is>
          <t>ความหมาย</t>
        </is>
      </c>
    </row>
    <row r="2" ht="38" customHeight="1">
      <c r="A2" s="13" t="inlineStr">
        <is>
          <t>P0-P3</t>
        </is>
      </c>
      <c r="B2" s="13" t="inlineStr">
        <is>
          <t>ระดับความรุนแรง/ความสำคัญ ดูรายละเอียดที่ชีต Priority &amp; Risk Matrix</t>
        </is>
      </c>
    </row>
    <row r="3" ht="54" customHeight="1">
      <c r="A3" s="13" t="inlineStr">
        <is>
          <t>REQ-F-xxx</t>
        </is>
      </c>
      <c r="B3" s="13" t="inlineStr">
        <is>
          <t>Functional Requirement — ความต้องการเชิงฟังก์ชันที่ระบบต้องทำได้ ระบุไว้ใน 01-requirement-review.md</t>
        </is>
      </c>
    </row>
    <row r="4" ht="54" customHeight="1">
      <c r="A4" s="13" t="inlineStr">
        <is>
          <t>REQ-NF-xxx</t>
        </is>
      </c>
      <c r="B4" s="13" t="inlineStr">
        <is>
          <t>Non-Functional Requirement — ความต้องการเชิงคุณภาพที่ไม่ใช่ฟีเจอร์ตรงๆ เช่น Security, Reliability, Usability ระบุไว้ใน 01-requirement-review.md</t>
        </is>
      </c>
    </row>
    <row r="5" ht="54" customHeight="1">
      <c r="A5" s="13" t="inlineStr">
        <is>
          <t>BR-xxx</t>
        </is>
      </c>
      <c r="B5" s="13" t="inlineStr">
        <is>
          <t>Business Rule — กฎทางธุรกิจที่ระบบต้องยึดตามเสมอ ระบุไว้ใน 01-requirement-review.md</t>
        </is>
      </c>
    </row>
    <row r="6" ht="54" customHeight="1">
      <c r="A6" s="13" t="inlineStr">
        <is>
          <t>AC-xxx</t>
        </is>
      </c>
      <c r="B6" s="13" t="inlineStr">
        <is>
          <t>Acceptance Criteria — เกณฑ์ยอมรับรูปแบบ Given/When/Then ที่ใช้ตัดสินว่า Requirement ข้อนั้นผ่านหรือไม่ ระบุไว้ใน 01-requirement-review.md</t>
        </is>
      </c>
    </row>
    <row r="7" ht="54" customHeight="1">
      <c r="A7" s="13" t="inlineStr">
        <is>
          <t>FLOW-xxx</t>
        </is>
      </c>
      <c r="B7" s="13" t="inlineStr">
        <is>
          <t>หมายเลข Flow ที่ออกแบบไว้ใน 02-e2e-flow.md เช่น Happy Path, Alternate Path, Error Path</t>
        </is>
      </c>
    </row>
    <row r="8" ht="54" customHeight="1">
      <c r="A8" s="13" t="inlineStr">
        <is>
          <t>DP-xxx</t>
        </is>
      </c>
      <c r="B8" s="13" t="inlineStr">
        <is>
          <t>Decision Point — จุดตัดสินใจในผังงาน (Flow) ที่ระบบต้องเลือกเส้นทางถัดไปตามเงื่อนไข ระบุไว้ใน 02-e2e-flow.md</t>
        </is>
      </c>
    </row>
    <row r="9" ht="54" customHeight="1">
      <c r="A9" s="13" t="inlineStr">
        <is>
          <t>RISK-xxx</t>
        </is>
      </c>
      <c r="B9" s="13" t="inlineStr">
        <is>
          <t>ความเสี่ยงที่พบระหว่างการวิเคราะห์ Requirement/Flow พร้อมระดับความรุนแรง (High/Medium/Low) ระบุไว้ใน 01-requirement-review.md หรือ 02-e2e-flow.md</t>
        </is>
      </c>
    </row>
    <row r="10" ht="54" customHeight="1">
      <c r="A10" s="13" t="inlineStr">
        <is>
          <t>TC-xxx</t>
        </is>
      </c>
      <c r="B10" s="13" t="inlineStr">
        <is>
          <t>Test Case — รหัสของ Test Case แต่ละรายการในชีต Test Case (เรียงตามลำดับต่อเนื่องภายใน Feature เดียวกัน)</t>
        </is>
      </c>
    </row>
  </sheetData>
  <pageMargins left="0.4" right="0.4" top="0.5" bottom="0.5" header="0.2" footer="0.2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2" customWidth="1" min="4" max="4"/>
    <col width="10" customWidth="1" min="5" max="5"/>
    <col width="40" customWidth="1" min="6" max="6"/>
    <col width="30" customWidth="1" min="7" max="7"/>
    <col width="70" customWidth="1" min="8" max="8"/>
    <col width="60" customWidth="1" min="9" max="9"/>
    <col width="45" customWidth="1" min="10" max="10"/>
    <col width="45" customWidth="1" min="11" max="11"/>
    <col width="14" customWidth="1" min="12" max="12"/>
    <col width="35" customWidth="1" min="13" max="13"/>
    <col width="12" customWidth="1" min="14" max="14"/>
    <col width="14" customWidth="1" min="15" max="15"/>
    <col width="45" customWidth="1" min="16" max="16"/>
    <col width="71" customWidth="1" min="17" max="17"/>
  </cols>
  <sheetData>
    <row r="1" ht="90" customHeight="1">
      <c r="A1" s="5" t="inlineStr">
        <is>
          <t>Test Case ID</t>
        </is>
      </c>
      <c r="B1" s="5" t="inlineStr">
        <is>
          <t>Module</t>
        </is>
      </c>
      <c r="C1" s="5" t="inlineStr">
        <is>
          <t>Feature</t>
        </is>
      </c>
      <c r="D1" s="5" t="inlineStr">
        <is>
          <t>Test Type</t>
        </is>
      </c>
      <c r="E1" s="5" t="inlineStr">
        <is>
          <t>Priority</t>
        </is>
      </c>
      <c r="F1" s="5" t="inlineStr">
        <is>
          <t>Test Scenario</t>
        </is>
      </c>
      <c r="G1" s="5" t="inlineStr">
        <is>
          <t>Pre-condition</t>
        </is>
      </c>
      <c r="H1" s="5" t="inlineStr">
        <is>
          <t>Test Step</t>
        </is>
      </c>
      <c r="I1" s="5" t="inlineStr">
        <is>
          <t>Test Data</t>
        </is>
      </c>
      <c r="J1" s="5" t="inlineStr">
        <is>
          <t>Expected Result</t>
        </is>
      </c>
      <c r="K1" s="5" t="inlineStr">
        <is>
          <t>Actual Result</t>
        </is>
      </c>
      <c r="L1" s="5" t="inlineStr">
        <is>
          <t>Status</t>
        </is>
      </c>
      <c r="M1" s="5" t="inlineStr">
        <is>
          <t>Issue link</t>
        </is>
      </c>
      <c r="N1" s="5" t="inlineStr">
        <is>
          <t>Test By</t>
        </is>
      </c>
      <c r="O1" s="5" t="inlineStr">
        <is>
          <t>Execution Date</t>
        </is>
      </c>
      <c r="P1" s="5" t="inlineStr">
        <is>
          <t>Remarks</t>
        </is>
      </c>
      <c r="Q1" s="5" t="inlineStr">
        <is>
          <t>Test Photo</t>
        </is>
      </c>
    </row>
    <row r="2" ht="90" customHeight="1">
      <c r="A2" s="15" t="inlineStr">
        <is>
          <t>TC-001</t>
        </is>
      </c>
      <c r="B2" s="13" t="inlineStr">
        <is>
          <t>Newsletter Signup</t>
        </is>
      </c>
      <c r="C2" s="13" t="inlineStr">
        <is>
          <t>Newsletter Email Subscription</t>
        </is>
      </c>
      <c r="D2" s="27" t="inlineStr">
        <is>
          <t>positive</t>
        </is>
      </c>
      <c r="E2" s="15" t="inlineStr"/>
      <c r="F2" s="13" t="inlineStr">
        <is>
          <t>สมัครรับข่าวสารสำเร็จด้วยอีเมลรูปแบบถูกต้องที่ยังไม่เคยสมัคร</t>
        </is>
      </c>
      <c r="G2" s="13" t="inlineStr">
        <is>
          <t>เปิดหน้าเว็บที่มี Footer widget แล้ว, อีเมลที่จะใช้ยังไม่เคยอยู่ใน subscriber</t>
        </is>
      </c>
      <c r="H2" s="13" t="inlineStr">
        <is>
          <t>1) เปิดหน้าเว็บที่มี Footer
2) กรอกอีเมลที่ถูกต้องและยังไม่เคยสมัครในช่อง "อีเมลของคุณ"
3) กดปุ่ม "สมัครรับข่าวสาร"</t>
        </is>
      </c>
      <c r="I2" s="13" t="inlineStr">
        <is>
          <t>email=newuser01@example.com</t>
        </is>
      </c>
      <c r="J2" s="13" t="inlineStr">
        <is>
          <t>ระบบแสดงข้อความ "สมัครรับข่าวสารสำเร็จ ขอบคุณที่ติดตามเรา" แบบ inline ใต้ปุ่ม และอีเมลถูกบันทึกลง subscriber</t>
        </is>
      </c>
      <c r="K2" s="13" t="inlineStr"/>
      <c r="L2" s="28" t="inlineStr">
        <is>
          <t>not start</t>
        </is>
      </c>
      <c r="M2" s="13" t="inlineStr"/>
      <c r="N2" s="15" t="inlineStr"/>
      <c r="O2" s="15" t="inlineStr"/>
      <c r="P2" s="13" t="inlineStr">
        <is>
          <t>FLOW-001 Step 1-6, REQ-F-001, REQ-F-004, BR-003, AC-001, AC-004</t>
        </is>
      </c>
      <c r="Q2" s="15" t="inlineStr"/>
    </row>
    <row r="3" ht="90" customHeight="1">
      <c r="A3" s="15" t="inlineStr">
        <is>
          <t>TC-002</t>
        </is>
      </c>
      <c r="B3" s="13" t="inlineStr">
        <is>
          <t>Newsletter Signup</t>
        </is>
      </c>
      <c r="C3" s="13" t="inlineStr">
        <is>
          <t>Newsletter Email Subscription</t>
        </is>
      </c>
      <c r="D3" s="29" t="inlineStr">
        <is>
          <t>negative</t>
        </is>
      </c>
      <c r="E3" s="15" t="inlineStr"/>
      <c r="F3" s="13" t="inlineStr">
        <is>
          <t>กรอกอีเมลรูปแบบไม่ถูกต้อง (ไม่มี @)</t>
        </is>
      </c>
      <c r="G3" s="13" t="inlineStr">
        <is>
          <t>เปิดหน้าเว็บที่มี Footer widget แล้ว</t>
        </is>
      </c>
      <c r="H3" s="13" t="inlineStr">
        <is>
          <t>1) กรอกข้อความที่ไม่มี @ ในช่องอีเมล (เช่น "newuserexample.com")
2) กดปุ่ม "สมัครรับข่าวสาร"</t>
        </is>
      </c>
      <c r="I3" s="13" t="inlineStr">
        <is>
          <t>email=newuserexample.com</t>
        </is>
      </c>
      <c r="J3" s="13" t="inlineStr">
        <is>
          <t>ระบบแสดง error "กรุณากรอกอีเมลให้ถูกต้อง" แบบ inline ใต้ปุ่ม และไม่มีการบันทึกข้อมูล</t>
        </is>
      </c>
      <c r="K3" s="13" t="inlineStr"/>
      <c r="L3" s="28" t="inlineStr">
        <is>
          <t>not start</t>
        </is>
      </c>
      <c r="M3" s="13" t="inlineStr"/>
      <c r="N3" s="15" t="inlineStr"/>
      <c r="O3" s="15" t="inlineStr"/>
      <c r="P3" s="13" t="inlineStr">
        <is>
          <t>FLOW-001 DP-001 (No) / Step 4A-5A, REQ-F-002, BR-001, AC-002</t>
        </is>
      </c>
      <c r="Q3" s="15" t="inlineStr"/>
    </row>
    <row r="4" ht="90" customHeight="1">
      <c r="A4" s="15" t="inlineStr">
        <is>
          <t>TC-003</t>
        </is>
      </c>
      <c r="B4" s="13" t="inlineStr">
        <is>
          <t>Newsletter Signup</t>
        </is>
      </c>
      <c r="C4" s="13" t="inlineStr">
        <is>
          <t>Newsletter Email Subscription</t>
        </is>
      </c>
      <c r="D4" s="29" t="inlineStr">
        <is>
          <t>negative</t>
        </is>
      </c>
      <c r="E4" s="15" t="inlineStr"/>
      <c r="F4" s="13" t="inlineStr">
        <is>
          <t>กรอกอีเมลรูปแบบไม่ถูกต้อง (มี @ แต่ไม่มีโดเมน)</t>
        </is>
      </c>
      <c r="G4" s="13" t="inlineStr">
        <is>
          <t>เปิดหน้าเว็บที่มี Footer widget แล้ว</t>
        </is>
      </c>
      <c r="H4" s="13" t="inlineStr">
        <is>
          <t>1) กรอก "newuser@" ในช่องอีเมล
2) กดปุ่ม "สมัครรับข่าวสาร"</t>
        </is>
      </c>
      <c r="I4" s="13" t="inlineStr">
        <is>
          <t>email=newuser@</t>
        </is>
      </c>
      <c r="J4" s="13" t="inlineStr">
        <is>
          <t>ระบบแสดง error "กรุณากรอกอีเมลให้ถูกต้อง" แบบ inline ใต้ปุ่ม และไม่มีการบันทึกข้อมูล</t>
        </is>
      </c>
      <c r="K4" s="13" t="inlineStr"/>
      <c r="L4" s="28" t="inlineStr">
        <is>
          <t>not start</t>
        </is>
      </c>
      <c r="M4" s="13" t="inlineStr"/>
      <c r="N4" s="15" t="inlineStr"/>
      <c r="O4" s="15" t="inlineStr"/>
      <c r="P4" s="13" t="inlineStr">
        <is>
          <t>FLOW-001 DP-001 (No) / Step 4A-5A, REQ-F-002, BR-001, AC-002 — เคสเสริมของ TC-002 ครอบคลุมรูปแบบผิดอีกแบบ</t>
        </is>
      </c>
      <c r="Q4" s="15" t="inlineStr"/>
    </row>
    <row r="5" ht="90" customHeight="1">
      <c r="A5" s="15" t="inlineStr">
        <is>
          <t>TC-004</t>
        </is>
      </c>
      <c r="B5" s="13" t="inlineStr">
        <is>
          <t>Newsletter Signup</t>
        </is>
      </c>
      <c r="C5" s="13" t="inlineStr">
        <is>
          <t>Newsletter Email Subscription</t>
        </is>
      </c>
      <c r="D5" s="29" t="inlineStr">
        <is>
          <t>negative</t>
        </is>
      </c>
      <c r="E5" s="15" t="inlineStr"/>
      <c r="F5" s="13" t="inlineStr">
        <is>
          <t>สมัครซ้ำด้วยอีเมลเดิมทุกตัวอักษร (exact match)</t>
        </is>
      </c>
      <c r="G5" s="13" t="inlineStr">
        <is>
          <t>อีเมล dup01@example.com เคยสมัครสำเร็จไปแล้วในระบบ</t>
        </is>
      </c>
      <c r="H5" s="13" t="inlineStr">
        <is>
          <t>1) กรอกอีเมล "dup01@example.com" ซ้ำอีกครั้ง (ตัวพิมพ์เหมือนเดิมทุกตัว)
2) กดปุ่ม "สมัครรับข่าวสาร"</t>
        </is>
      </c>
      <c r="I5" s="13" t="inlineStr">
        <is>
          <t>email=dup01@example.com (ใช้ชุดข้อมูลกลาง Pre-seeded Subscriber ต้อง seed ให้เหมือนกันทุกตัวอักษรก่อนรันเคสนี้)</t>
        </is>
      </c>
      <c r="J5" s="13" t="inlineStr">
        <is>
          <t>ระบบแสดง error "อีเมลนี้สมัครรับข่าวสารไปแล้ว" แบบ inline ใต้ปุ่ม และไม่มีการบันทึกซ้ำ</t>
        </is>
      </c>
      <c r="K5" s="13" t="inlineStr"/>
      <c r="L5" s="28" t="inlineStr">
        <is>
          <t>not start</t>
        </is>
      </c>
      <c r="M5" s="13" t="inlineStr"/>
      <c r="N5" s="15" t="inlineStr"/>
      <c r="O5" s="15" t="inlineStr"/>
      <c r="P5" s="13" t="inlineStr">
        <is>
          <t>FLOW-001 DP-002 (Yes) / Step 4B-5B, REQ-F-003, BR-002, AC-003</t>
        </is>
      </c>
      <c r="Q5" s="15" t="inlineStr"/>
    </row>
    <row r="6" ht="260" customHeight="1">
      <c r="A6" s="15" t="inlineStr">
        <is>
          <t>TC-005</t>
        </is>
      </c>
      <c r="B6" s="13" t="inlineStr">
        <is>
          <t>Newsletter Signup</t>
        </is>
      </c>
      <c r="C6" s="13" t="inlineStr">
        <is>
          <t>Newsletter Email Subscription</t>
        </is>
      </c>
      <c r="D6" s="30" t="inlineStr">
        <is>
          <t>edge case</t>
        </is>
      </c>
      <c r="E6" s="15" t="inlineStr"/>
      <c r="F6" s="13" t="inlineStr">
        <is>
          <t>สมัครซ้ำด้วยอีเมลเดิมแต่ตัวพิมพ์เล็ก-ใหญ่ต่างกัน</t>
        </is>
      </c>
      <c r="G6" s="13" t="inlineStr">
        <is>
          <t>อีเมล dup02@example.com (ตัวพิมพ์เล็กทั้งหมด) เคยสมัครสำเร็จไปแล้วในระบบ</t>
        </is>
      </c>
      <c r="H6" s="13" t="inlineStr">
        <is>
          <t>1) กรอกอีเมล "Dup02@Example.com" (เปลี่ยนตัวพิมพ์บางตัว จากอีเมลที่เคยสมัครแล้ว)
2) กดปุ่ม "สมัครรับข่าวสาร"</t>
        </is>
      </c>
      <c r="I6" s="13" t="inlineStr">
        <is>
          <t>email ที่ seed ไว้=dup02@example.com (ตัวพิมพ์เล็กทั้งหมด) / email ที่กรอกทดสอบ=Dup02@Example.com (สลับตัวพิมพ์บางตัว)</t>
        </is>
      </c>
      <c r="J6" s="13" t="inlineStr">
        <is>
          <t>ระบบควรถือว่าเป็นอีเมลเดียวกัน (case-insensitive) และแสดง error "อีเมลนี้สมัครรับข่าวสารไปแล้ว" เหมือน TC-004</t>
        </is>
      </c>
      <c r="K6" s="13" t="inlineStr"/>
      <c r="L6" s="28" t="inlineStr">
        <is>
          <t>not start</t>
        </is>
      </c>
      <c r="M6" s="13" t="inlineStr"/>
      <c r="N6" s="15" t="inlineStr"/>
      <c r="O6" s="15" t="inlineStr"/>
      <c r="P6" s="13" t="inlineStr">
        <is>
          <t>RISK-001 (High) / OQ-02 จาก 01-requirement-review และ FLOW-001 DP-002 — Expected Result นี้อ้างอิงสมมติฐานว่าผู้ใช้ทั่วไปคาดหวัง case-insensitive ตามปกติของอีเมล ไม่ใช่ตาม BR-002 ที่ระบุ exact-match ไว้ชั่วคราว (ยังไม่ได้รับการยืนยันจากทีม Marketing) — เคสนี้ตั้งใจให้ทดสอบพฤติกรรมจริงเทียบกับความคาดหวัง ถ้า Actual ต่างจาก Expected ให้เปิด Ticket ตาม RISK-001 | [Automation] Test Case Fail จริง: ระบบควรถือว่า "Dup02@Example.com" เป็นอีเมลเดียวกับ "dup02@example.com" ที่สมัครไปแล้ว (case-insensitive ตามความคาดหวังผู้ใช้ทั่วไป และตาม RISK-001) และแสดง error "สมัครรับข่าวสารไปแล้ว" แต่ระบบกลับแสดง class="success" ข้อความ="สมัครรับข่าวสารสำเร็จ ขอบคุณที่ติดตามเรา" แทน — สอดคล้องกับ BR-002 ที่ระบุพฤติกรรมปัจจุบันเป็น exact-match (case-sensitive) ซึ่งเป็นบั๊กเชิงคุณภาพข้อมูลตาม RISK-001 (High) | ผลรัน Automation จริง (2026-09-19, Chromium): ระบบยอมให้ "Dup02@Example.com" สมัครซ้ำกับ "dup02@example.com" ที่สมัครไปแล้วได้สำเร็จ (exact-match ตาม BR-002 ในปัจจุบัน) แทนที่จะแสดง error ตามที่คาดหวังใน RISK-001 (High) — เป็นผล Fail จริง ไม่ใช่ Script/Environment Error จะส่งต่อเปิด Ticket ใน Redmine ตาม RISK-001 ที่ Stage 09 ต่อไป</t>
        </is>
      </c>
      <c r="Q6" s="15" t="inlineStr"/>
    </row>
    <row r="7" ht="90" customHeight="1">
      <c r="A7" s="15" t="inlineStr">
        <is>
          <t>TC-006</t>
        </is>
      </c>
      <c r="B7" s="13" t="inlineStr">
        <is>
          <t>Newsletter Signup</t>
        </is>
      </c>
      <c r="C7" s="13" t="inlineStr">
        <is>
          <t>Newsletter Email Subscription</t>
        </is>
      </c>
      <c r="D7" s="30" t="inlineStr">
        <is>
          <t>edge case</t>
        </is>
      </c>
      <c r="E7" s="15" t="inlineStr"/>
      <c r="F7" s="13" t="inlineStr">
        <is>
          <t>กดปุ่ม "สมัครรับข่าวสาร" ซ้ำระหว่างระบบกำลังประมวลผล</t>
        </is>
      </c>
      <c r="G7" s="13" t="inlineStr">
        <is>
          <t>เปิดหน้าเว็บที่มี Footer widget แล้ว, กรอกอีเมลถูกต้องและยังไม่เคยสมัครไว้แล้ว</t>
        </is>
      </c>
      <c r="H7" s="13" t="inlineStr">
        <is>
          <t>1) กดปุ่ม "สมัครรับข่าวสาร" ครั้งแรก
2) พยายามกดปุ่มซ้ำทันทีก่อนระบบตอบกลับ</t>
        </is>
      </c>
      <c r="I7" s="13" t="inlineStr">
        <is>
          <t>email=nodouble01@example.com</t>
        </is>
      </c>
      <c r="J7" s="13" t="inlineStr">
        <is>
          <t>ปุ่มอยู่ในสถานะ disable ทันทีหลังกดครั้งแรก ไม่รับการกดซ้ำ ไม่มีคำขอสมัครซ้ำถูกส่งออกไป และปุ่มกลับมาใช้งานได้ปกติหลังได้ผลลัพธ์</t>
        </is>
      </c>
      <c r="K7" s="13" t="inlineStr"/>
      <c r="L7" s="28" t="inlineStr">
        <is>
          <t>not start</t>
        </is>
      </c>
      <c r="M7" s="13" t="inlineStr"/>
      <c r="N7" s="15" t="inlineStr"/>
      <c r="O7" s="15" t="inlineStr"/>
      <c r="P7" s="13" t="inlineStr">
        <is>
          <t>FLOW-002 Step 1-4, REQ-F-005, BR-004, AC-005</t>
        </is>
      </c>
      <c r="Q7" s="15" t="inlineStr"/>
    </row>
    <row r="8" ht="90" customHeight="1">
      <c r="A8" s="15" t="inlineStr">
        <is>
          <t>TC-007</t>
        </is>
      </c>
      <c r="B8" s="13" t="inlineStr">
        <is>
          <t>Newsletter Signup</t>
        </is>
      </c>
      <c r="C8" s="13" t="inlineStr">
        <is>
          <t>Newsletter Email Subscription</t>
        </is>
      </c>
      <c r="D8" s="29" t="inlineStr">
        <is>
          <t>negative</t>
        </is>
      </c>
      <c r="E8" s="15" t="inlineStr"/>
      <c r="F8" s="13" t="inlineStr">
        <is>
          <t>กดปุ่มสมัครโดยไม่กรอกอีเมลเลย (ช่องว่าง)</t>
        </is>
      </c>
      <c r="G8" s="13" t="inlineStr">
        <is>
          <t>เปิดหน้าเว็บที่มี Footer widget แล้ว, ไม่กรอกข้อความใดๆ ในช่องอีเมล</t>
        </is>
      </c>
      <c r="H8" s="13" t="inlineStr">
        <is>
          <t>1) ปล่อยช่องอีเมลว่างไว้
2) กดปุ่ม "สมัครรับข่าวสาร"</t>
        </is>
      </c>
      <c r="I8" s="13" t="inlineStr">
        <is>
          <t>email=(ว่าง)</t>
        </is>
      </c>
      <c r="J8" s="13" t="inlineStr">
        <is>
          <t>ระบบแสดง error "กรุณากรอกอีเมลให้ถูกต้อง" แบบ inline ใต้ปุ่ม และไม่มีการบันทึกข้อมูล</t>
        </is>
      </c>
      <c r="K8" s="13" t="inlineStr"/>
      <c r="L8" s="28" t="inlineStr">
        <is>
          <t>not start</t>
        </is>
      </c>
      <c r="M8" s="13" t="inlineStr"/>
      <c r="N8" s="15" t="inlineStr"/>
      <c r="O8" s="15" t="inlineStr"/>
      <c r="P8" s="13" t="inlineStr">
        <is>
          <t>FLOW-001 DP-001 (No, ค่าว่างถือว่ารูปแบบไม่ถูกต้อง) / Step 4A-5A, REQ-F-002, BR-001 — edge case ของค่าว่างที่ Flow ไม่ได้แยกพูดถึงตรงๆ</t>
        </is>
      </c>
      <c r="Q8" s="15" t="inlineStr"/>
    </row>
    <row r="9" ht="90" customHeight="1">
      <c r="A9" s="15" t="inlineStr">
        <is>
          <t>TC-008</t>
        </is>
      </c>
      <c r="B9" s="13" t="inlineStr">
        <is>
          <t>Newsletter Signup</t>
        </is>
      </c>
      <c r="C9" s="13" t="inlineStr">
        <is>
          <t>Newsletter Email Subscription</t>
        </is>
      </c>
      <c r="D9" s="30" t="inlineStr">
        <is>
          <t>edge case</t>
        </is>
      </c>
      <c r="E9" s="15" t="inlineStr"/>
      <c r="F9" s="13" t="inlineStr">
        <is>
          <t>กรอกอีเมลที่มีช่องว่างนำหน้า/ตามหลัง</t>
        </is>
      </c>
      <c r="G9" s="13" t="inlineStr">
        <is>
          <t>เปิดหน้าเว็บที่มี Footer widget แล้ว</t>
        </is>
      </c>
      <c r="H9" s="13" t="inlineStr">
        <is>
          <t>1) กรอก " spaced01@example.com " (มีช่องว่างนำหน้าและตามหลัง) ในช่องอีเมล
2) กดปุ่ม "สมัครรับข่าวสาร"</t>
        </is>
      </c>
      <c r="I9" s="13" t="inlineStr">
        <is>
          <t>email=" spaced01@example.com "</t>
        </is>
      </c>
      <c r="J9" s="13" t="inlineStr">
        <is>
          <t>ระบบควรตัดช่องว่างส่วนเกินออกก่อนตรวจรูปแบบ (trim) แล้วดำเนินการเหมือนอีเมลปกติที่ถูกต้อง — ไม่ควรถือว่าเป็นรูปแบบผิดหรือบันทึกอีเมลที่มีช่องว่างติดไปด้วย</t>
        </is>
      </c>
      <c r="K9" s="13" t="inlineStr"/>
      <c r="L9" s="28" t="inlineStr">
        <is>
          <t>not start</t>
        </is>
      </c>
      <c r="M9" s="13" t="inlineStr"/>
      <c r="N9" s="15" t="inlineStr"/>
      <c r="O9" s="15" t="inlineStr"/>
      <c r="P9" s="13" t="inlineStr">
        <is>
          <t>REQ-F-002, BR-001 — edge case ที่ไม่มีระบุตรงในเอกสารต้นทางว่าต้อง trim หรือไม่ อ้างอิงสมมติฐานพฤติกรรมมาตรฐานทั่วไปของฟอร์มกรอกอีเมล</t>
        </is>
      </c>
      <c r="Q9" s="15" t="inlineStr"/>
    </row>
    <row r="10" ht="102" customHeight="1">
      <c r="A10" s="15" t="inlineStr">
        <is>
          <t>TC-009</t>
        </is>
      </c>
      <c r="B10" s="13" t="inlineStr">
        <is>
          <t>Newsletter Signup</t>
        </is>
      </c>
      <c r="C10" s="13" t="inlineStr">
        <is>
          <t>Newsletter Email Subscription</t>
        </is>
      </c>
      <c r="D10" s="30" t="inlineStr">
        <is>
          <t>edge case</t>
        </is>
      </c>
      <c r="E10" s="15" t="inlineStr"/>
      <c r="F10" s="13" t="inlineStr">
        <is>
          <t>กรอกอีเมลที่ยาวผิดปกติ</t>
        </is>
      </c>
      <c r="G10" s="13" t="inlineStr">
        <is>
          <t>เปิดหน้าเว็บที่มี Footer widget แล้ว</t>
        </is>
      </c>
      <c r="H10" s="13" t="inlineStr">
        <is>
          <t>1) กรอกอีเมลที่มี local-part ยาวประมาณ 250 ตัวอักษร ตามด้วย @example.com
2) กดปุ่ม "สมัครรับข่าวสาร"</t>
        </is>
      </c>
      <c r="I10" s="13" t="inlineStr">
        <is>
          <t>email=&lt;local-part ยาว 250 ตัวอักษร a-z ซ้ำ&gt;@example.com (generate ขึ้นตรงๆ ตอนรัน ไม่ hardcode สตริงยาวในเอกสาร)</t>
        </is>
      </c>
      <c r="J10" s="13" t="inlineStr">
        <is>
          <t>ระบบจัดการได้โดยไม่ error/crash ที่ไม่คาดคิด — ตาม BR-001 ไม่มีการจำกัดความยาวเพิ่มเติมนอกจาก format มาตรฐาน จึงควรอ้างอิงพฤติกรรมตาม RFC ของ email มาตรฐาน (ปกติ local-part ไม่เกิน 64 ตัวอักษร) และแสดง error รูปแบบไม่ถูกต้องถ้าเกินมาตรฐานจริง</t>
        </is>
      </c>
      <c r="K10" s="13" t="inlineStr"/>
      <c r="L10" s="28" t="inlineStr">
        <is>
          <t>not start</t>
        </is>
      </c>
      <c r="M10" s="13" t="inlineStr"/>
      <c r="N10" s="15" t="inlineStr"/>
      <c r="O10" s="15" t="inlineStr"/>
      <c r="P10" s="13" t="inlineStr">
        <is>
          <t>BR-001 — boundary/edge case ที่ Requirement ต้นทางระบุแค่ "ไม่จำกัดความยาวเพิ่มเติม" โดยไม่ได้พูดถึงขีดจำกัดตาม RFC มาตรฐานเลย</t>
        </is>
      </c>
      <c r="Q10" s="15" t="inlineStr"/>
    </row>
    <row r="11" ht="90" customHeight="1">
      <c r="A11" s="15" t="inlineStr">
        <is>
          <t>TC-010</t>
        </is>
      </c>
      <c r="B11" s="13" t="inlineStr">
        <is>
          <t>Newsletter Signup</t>
        </is>
      </c>
      <c r="C11" s="13" t="inlineStr">
        <is>
          <t>Newsletter Email Subscription</t>
        </is>
      </c>
      <c r="D11" s="28" t="inlineStr">
        <is>
          <t>other</t>
        </is>
      </c>
      <c r="E11" s="15" t="inlineStr"/>
      <c r="F11" s="13" t="inlineStr">
        <is>
          <t>ตรวจสอบว่า Footer widget แสดงผลและทำงานถูกต้องข้าม Browser หลัก</t>
        </is>
      </c>
      <c r="G11" s="13" t="inlineStr">
        <is>
          <t>มี Browser Chrome, Safari, Firefox, Edge เวอร์ชันล่าสุดพร้อมทดสอบ</t>
        </is>
      </c>
      <c r="H11" s="13" t="inlineStr">
        <is>
          <t>1) เปิดหน้าเว็บที่มี Footer widget บนแต่ละ Browser
2) ทำ TC-001 (happy path) ซ้ำบนแต่ละ Browser</t>
        </is>
      </c>
      <c r="I11" s="13" t="inlineStr">
        <is>
          <t>email=crossbrowser01@example.com ต่อ 1 รอบ Browser (Chrome/Safari/Firefox/Edge เวอร์ชันล่าสุด)</t>
        </is>
      </c>
      <c r="J11" s="13" t="inlineStr">
        <is>
          <t>Footer widget แสดงผลถูกต้องและ TC-001 ผ่านบนทุก Browser ที่ทดสอบ</t>
        </is>
      </c>
      <c r="K11" s="13" t="inlineStr"/>
      <c r="L11" s="28" t="inlineStr">
        <is>
          <t>not start</t>
        </is>
      </c>
      <c r="M11" s="13" t="inlineStr"/>
      <c r="N11" s="15" t="inlineStr"/>
      <c r="O11" s="15" t="inlineStr"/>
      <c r="P11" s="13" t="inlineStr">
        <is>
          <t>REQ-NF-002 (Cross-cutting ⚠️ ใน 02-e2e-flow.md) — เป็นสมมติฐานชั่วคราวเรื่องรายชื่อ Browser (OQ-03 ใน 01-requirement-review ยังไม่มีคำตอบยืนยันจริง)</t>
        </is>
      </c>
      <c r="Q11" s="15" t="inlineStr"/>
    </row>
    <row r="12" ht="90" customHeight="1">
      <c r="A12" s="15" t="inlineStr">
        <is>
          <t>TC-011</t>
        </is>
      </c>
      <c r="B12" s="13" t="inlineStr">
        <is>
          <t>Newsletter Signup</t>
        </is>
      </c>
      <c r="C12" s="13" t="inlineStr">
        <is>
          <t>Newsletter Email Subscription</t>
        </is>
      </c>
      <c r="D12" s="30" t="inlineStr">
        <is>
          <t>edge case</t>
        </is>
      </c>
      <c r="E12" s="15" t="inlineStr"/>
      <c r="F12" s="13" t="inlineStr">
        <is>
          <t>ระบบบันทึกอีเมลลง subscriber ล้มเหลวจากสาเหตุฝั่งระบบเอง</t>
        </is>
      </c>
      <c r="G12" s="13" t="inlineStr">
        <is>
          <t>จำลองสถานการณ์ที่ฐานข้อมูล subscriber ไม่ตอบสนอง/error ระหว่างบันทึก (เช่นผ่าน mock/stub ฝั่ง test environment)</t>
        </is>
      </c>
      <c r="H12" s="13" t="inlineStr">
        <is>
          <t>1) กรอกอีเมลที่ถูกต้องและยังไม่เคยสมัคร
2) กดปุ่ม "สมัครรับข่าวสาร" ขณะฐานข้อมูล subscriber ไม่ตอบสนอง</t>
        </is>
      </c>
      <c r="I12" s="13" t="inlineStr">
        <is>
          <t>email=infrafail01@example.com
สภาพแวดล้อม=subscriber DB unavailable (จำลอง)</t>
        </is>
      </c>
      <c r="J12" s="13" t="inlineStr">
        <is>
          <t>ระบบควรแสดง error กลางๆ ที่สื่อว่าระบบมีปัญหาชั่วคราว (เช่น "เกิดข้อผิดพลาด กรุณาลองใหม่อีกครั้ง") ไม่ใช่ error ที่สื่อว่าเป็นความผิดของผู้ใช้ และไม่ควร crash หรือค้าง</t>
        </is>
      </c>
      <c r="K12" s="13" t="inlineStr"/>
      <c r="L12" s="28" t="inlineStr">
        <is>
          <t>not start</t>
        </is>
      </c>
      <c r="M12" s="13" t="inlineStr"/>
      <c r="N12" s="15" t="inlineStr"/>
      <c r="O12" s="15" t="inlineStr"/>
      <c r="P12" s="13" t="inlineStr">
        <is>
          <t>ข้อสังเกตใหม่ข้อ 4 ใน 02-e2e-flow.md (Open Questions) — Requirement ต้นทางไม่ได้กำหนดพฤติกรรม/ข้อความสำหรับกรณีนี้เลย Expected Result อ้างอิงสมมติฐานมาตรฐานทั่วไปของ error handling</t>
        </is>
      </c>
      <c r="Q12" s="15" t="inlineStr"/>
    </row>
  </sheetData>
  <dataValidations count="3">
    <dataValidation sqref="D2:D2000" showDropDown="0" showInputMessage="0" showErrorMessage="0" allowBlank="1" type="list">
      <formula1>"positive,negative,edge case,other"</formula1>
    </dataValidation>
    <dataValidation sqref="E2:E2000" showDropDown="0" showInputMessage="0" showErrorMessage="0" allowBlank="1" type="list">
      <formula1>"P0,P1,P2,P3"</formula1>
    </dataValidation>
    <dataValidation sqref="L2:L2000" showDropDown="0" showInputMessage="0" showErrorMessage="0" allowBlank="1" type="list">
      <formula1>"not start,Pass,Fail,Blocked,Rejected / Not a Bug"</formula1>
    </dataValidation>
  </dataValidation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2026-09-19T14:04:50Z</dcterms:created>
  <dcterms:modified xmlns:dcterms="http://purl.org/dc/terms/" xmlns:xsi="http://www.w3.org/2001/XMLSchema-instance" xsi:type="dcterms:W3CDTF">2026-09-19T14:04:51Z</dcterms:modified>
</cp:coreProperties>
</file>